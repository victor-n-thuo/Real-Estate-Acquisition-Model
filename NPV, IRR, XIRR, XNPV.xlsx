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kii\OneDrive\Desktop\Essential Financial Modeling Course\Financial Modelling in Excel Course\Exercises_and_Datasets\Exercises_and_Datasets\"/>
    </mc:Choice>
  </mc:AlternateContent>
  <xr:revisionPtr revIDLastSave="0" documentId="13_ncr:1_{D9BD4A4F-7D7F-438F-9254-08FC13843004}" xr6:coauthVersionLast="47" xr6:coauthVersionMax="47" xr10:uidLastSave="{00000000-0000-0000-0000-000000000000}"/>
  <bookViews>
    <workbookView xWindow="-120" yWindow="-120" windowWidth="19440" windowHeight="1488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8" i="1"/>
  <c r="J11" i="1"/>
  <c r="J10" i="1"/>
  <c r="E15" i="1"/>
  <c r="F15" i="1"/>
  <c r="G15" i="1"/>
  <c r="H15" i="1"/>
  <c r="I15" i="1"/>
  <c r="J15" i="1"/>
  <c r="K15" i="1"/>
  <c r="L15" i="1"/>
  <c r="M15" i="1"/>
  <c r="N15" i="1"/>
  <c r="G3" i="9"/>
  <c r="C3" i="9"/>
  <c r="E49" i="1"/>
  <c r="F37" i="1"/>
  <c r="G37" i="1" s="1"/>
  <c r="H37" i="1" s="1"/>
  <c r="I37" i="1" s="1"/>
  <c r="J37" i="1" s="1"/>
  <c r="K37" i="1" s="1"/>
  <c r="L37" i="1" s="1"/>
  <c r="M37" i="1" s="1"/>
  <c r="N37" i="1" s="1"/>
  <c r="C2" i="9" l="1"/>
  <c r="G2" i="9"/>
  <c r="J9" i="1"/>
  <c r="G19" i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  <c r="E53" i="1" l="1"/>
  <c r="J2" i="1"/>
  <c r="C4" i="9" s="1"/>
  <c r="C5" i="9" s="1"/>
  <c r="J6" i="1" s="1"/>
  <c r="J4" i="1" l="1"/>
  <c r="G4" i="9"/>
  <c r="G5" i="9" s="1"/>
  <c r="J7" i="1" s="1"/>
</calcChain>
</file>

<file path=xl/sharedStrings.xml><?xml version="1.0" encoding="utf-8"?>
<sst xmlns="http://schemas.openxmlformats.org/spreadsheetml/2006/main" count="66" uniqueCount="59">
  <si>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</si>
  <si>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</si>
  <si>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</si>
  <si>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</si>
  <si>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</si>
  <si>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</si>
  <si>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</si>
  <si>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</si>
  <si>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</si>
  <si>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</si>
  <si>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</si>
  <si>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</si>
  <si>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</si>
  <si>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</si>
  <si>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</si>
  <si>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</si>
  <si>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</si>
  <si>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</si>
  <si>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</si>
  <si>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</si>
  <si>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</si>
  <si>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</si>
  <si>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</si>
  <si>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</si>
  <si>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</si>
  <si>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</si>
  <si>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</si>
  <si>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</si>
  <si>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</si>
  <si>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</si>
  <si>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</si>
  <si>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</si>
  <si>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</si>
  <si>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</si>
  <si>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</si>
  <si>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</si>
  <si>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</si>
  <si>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</si>
  <si>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</si>
  <si>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</si>
  <si>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</si>
  <si>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</si>
  <si>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</si>
  <si>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</si>
  <si>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</si>
  <si>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</si>
  <si>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</si>
  <si>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Number of Periods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</si>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</sst>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0" fontId="9" fillId="0" borderId="0" xfId="0" applyNumberFormat="1" applyFont="1"/>
    <xf numFmtId="0" fontId="9" fillId="0" borderId="0" xfId="0" applyFont="1"/>
    <xf numFmtId="165" fontId="9" fillId="0" borderId="0" xfId="1" applyNumberFormat="1" applyFont="1"/>
    <xf numFmtId="10" fontId="6" fillId="2" borderId="0" xfId="0" applyNumberFormat="1" applyFont="1" applyFill="1"/>
    <xf numFmtId="6" fontId="9" fillId="0" borderId="0" xfId="1" applyNumberFormat="1" applyFont="1"/>
    <xf numFmtId="165" fontId="9" fillId="2" borderId="0" xfId="1" applyNumberFormat="1" applyFont="1" applyFill="1"/>
    <xf numFmtId="8" fontId="0" fillId="0" borderId="0" xfId="0" applyNumberFormat="1"/>
    <xf numFmtId="43" fontId="0" fillId="0" borderId="0" xfId="1" applyFont="1"/>
    <xf numFmtId="165" fontId="0" fillId="2" borderId="0" xfId="1" applyNumberFormat="1" applyFont="1" applyFill="1"/>
    <xf numFmtId="14" fontId="0" fillId="0" borderId="0" xfId="0" applyNumberFormat="1" applyAlignment="1">
      <alignment horizontal="center"/>
    </xf>
    <xf numFmtId="10" fontId="0" fillId="2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D1" zoomScaleNormal="100" workbookViewId="0">
      <selection activeCell="K5" sqref="K5"/>
    </sheetView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7" width="13.7109375" bestFit="1" customWidth="1"/>
    <col min="8" max="8" width="18.7109375" bestFit="1" customWidth="1"/>
    <col min="9" max="9" width="14.7109375" bestFit="1" customWidth="1"/>
    <col min="10" max="10" width="14.28515625" bestFit="1" customWidth="1"/>
    <col min="11" max="11" width="12.5703125" bestFit="1" customWidth="1"/>
    <col min="12" max="13" width="12.140625" bestFit="1" customWidth="1"/>
    <col min="14" max="14" width="15.7109375" bestFit="1" customWidth="1"/>
    <col min="15" max="15" width="13.7109375" bestFit="1" customWidth="1"/>
  </cols>
  <sheetData>
    <row r="1" spans="1:14" x14ac:dyDescent="0.25">
      <c r="A1" s="34" t="s">
        <v>18</v>
      </c>
      <c r="B1" s="34"/>
      <c r="D1" s="34" t="s">
        <v>25</v>
      </c>
      <c r="E1" s="34"/>
      <c r="F1" s="34"/>
      <c r="H1" s="34" t="s">
        <v>54</v>
      </c>
      <c r="I1" s="34"/>
      <c r="J1" s="34"/>
    </row>
    <row r="2" spans="1:14" x14ac:dyDescent="0.25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50</v>
      </c>
      <c r="J2" s="30">
        <f>ABS(SUM(D51:E51))</f>
        <v>9288683.333333334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55</v>
      </c>
      <c r="I3" s="4"/>
      <c r="J3" s="41">
        <f>SUM(D53:N53)+J2</f>
        <v>79660390.810465187</v>
      </c>
      <c r="K3" s="26"/>
    </row>
    <row r="4" spans="1:14" x14ac:dyDescent="0.25">
      <c r="A4" t="s">
        <v>1</v>
      </c>
      <c r="B4" s="10">
        <v>1994</v>
      </c>
      <c r="H4" t="s">
        <v>49</v>
      </c>
      <c r="J4" s="37">
        <f>J3/J2</f>
        <v>8.5760691749062232</v>
      </c>
    </row>
    <row r="5" spans="1:14" x14ac:dyDescent="0.25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45">
        <v>0.2</v>
      </c>
    </row>
    <row r="6" spans="1:14" x14ac:dyDescent="0.25">
      <c r="A6" t="s">
        <v>41</v>
      </c>
      <c r="B6" s="10" t="s">
        <v>42</v>
      </c>
      <c r="D6" t="s">
        <v>40</v>
      </c>
      <c r="F6" s="32">
        <v>10</v>
      </c>
      <c r="H6" t="s">
        <v>56</v>
      </c>
      <c r="J6" s="44">
        <f>'TVM Analysis'!C5</f>
        <v>57513078.911139838</v>
      </c>
    </row>
    <row r="7" spans="1:14" x14ac:dyDescent="0.25">
      <c r="D7" s="4" t="s">
        <v>39</v>
      </c>
      <c r="E7" s="4"/>
      <c r="F7" s="27">
        <v>0.05</v>
      </c>
      <c r="H7" s="4" t="s">
        <v>53</v>
      </c>
      <c r="I7" s="4"/>
      <c r="J7" s="47">
        <f>'TVM Analysis'!G5</f>
        <v>12865597.851077091</v>
      </c>
    </row>
    <row r="8" spans="1:14" x14ac:dyDescent="0.25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52</v>
      </c>
      <c r="J8" s="30">
        <f>NPV(J5,E53:N53)+D53</f>
        <v>7391418.7105337754</v>
      </c>
    </row>
    <row r="9" spans="1:14" x14ac:dyDescent="0.25">
      <c r="A9" s="25" t="s">
        <v>38</v>
      </c>
      <c r="B9" s="8">
        <v>0.02</v>
      </c>
      <c r="H9" s="4" t="s">
        <v>57</v>
      </c>
      <c r="I9" s="4"/>
      <c r="J9" s="50">
        <f>XNPV(J5,D53:N53,D15:N15)</f>
        <v>7372046.6745773824</v>
      </c>
      <c r="K9" s="49"/>
    </row>
    <row r="10" spans="1:14" x14ac:dyDescent="0.25">
      <c r="A10" s="4" t="s">
        <v>37</v>
      </c>
      <c r="B10" s="27">
        <v>0.05</v>
      </c>
      <c r="H10" t="s">
        <v>51</v>
      </c>
      <c r="J10" s="25">
        <f>IRR(D53:N53)</f>
        <v>0.29781515057450703</v>
      </c>
    </row>
    <row r="11" spans="1:14" x14ac:dyDescent="0.25">
      <c r="H11" s="4" t="s">
        <v>58</v>
      </c>
      <c r="I11" s="4"/>
      <c r="J11" s="52">
        <f>XIRR(D53:N53,D15:N15)</f>
        <v>0.29754770398139962</v>
      </c>
    </row>
    <row r="14" spans="1:14" x14ac:dyDescent="0.25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x14ac:dyDescent="0.25">
      <c r="D15" s="51">
        <v>45322</v>
      </c>
      <c r="E15" s="51">
        <f>EOMONTH(D15,12)</f>
        <v>45688</v>
      </c>
      <c r="F15" s="51">
        <f t="shared" ref="F15:N15" si="0">EOMONTH(E15,12)</f>
        <v>46053</v>
      </c>
      <c r="G15" s="51">
        <f t="shared" si="0"/>
        <v>46418</v>
      </c>
      <c r="H15" s="51">
        <f t="shared" si="0"/>
        <v>46783</v>
      </c>
      <c r="I15" s="51">
        <f t="shared" si="0"/>
        <v>47149</v>
      </c>
      <c r="J15" s="51">
        <f t="shared" si="0"/>
        <v>47514</v>
      </c>
      <c r="K15" s="51">
        <f t="shared" si="0"/>
        <v>47879</v>
      </c>
      <c r="L15" s="51">
        <f t="shared" si="0"/>
        <v>48244</v>
      </c>
      <c r="M15" s="51">
        <f t="shared" si="0"/>
        <v>48610</v>
      </c>
      <c r="N15" s="51">
        <f t="shared" si="0"/>
        <v>48975</v>
      </c>
    </row>
    <row r="16" spans="1:14" x14ac:dyDescent="0.25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>G16+1</f>
        <v>4</v>
      </c>
      <c r="I16" s="31">
        <f t="shared" si="1"/>
        <v>5</v>
      </c>
      <c r="J16" s="31">
        <f t="shared" si="1"/>
        <v>6</v>
      </c>
      <c r="K16" s="31">
        <f>J16+1</f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>G19*(1+RentGrowth)</f>
        <v>2535.75</v>
      </c>
      <c r="I19" s="16">
        <f t="shared" si="3"/>
        <v>2662.5374999999999</v>
      </c>
      <c r="J19" s="16">
        <f t="shared" si="3"/>
        <v>2795.6643749999998</v>
      </c>
      <c r="K19" s="16">
        <f>J19*(1+RentGrowth)</f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25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5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-140901.48450000014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>SUM(H$18+H$21)*H34</f>
        <v>69378.12</v>
      </c>
      <c r="I33" s="19">
        <f>SUM(I$18+I$21)*I34</f>
        <v>72847.025999999983</v>
      </c>
      <c r="J33" s="19">
        <f>SUM(J$18+J$21)*J34</f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>G37*(1+CostGrowth)</f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>J37*(1+CostGrowth)</f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>G42*(1+CostGrowth)</f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>J42*(1+CostGrowth)</f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5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5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5" x14ac:dyDescent="0.25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5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5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</row>
    <row r="54" spans="1:15" x14ac:dyDescent="0.25"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x14ac:dyDescent="0.25">
      <c r="O55" s="33"/>
    </row>
    <row r="56" spans="1:15" x14ac:dyDescent="0.25">
      <c r="O56" s="48"/>
    </row>
    <row r="57" spans="1:15" x14ac:dyDescent="0.25">
      <c r="A57" s="30"/>
      <c r="B57" s="33"/>
      <c r="C57" s="30"/>
      <c r="D57" s="30"/>
      <c r="E57" s="30"/>
      <c r="F57" s="30"/>
      <c r="N57" s="9"/>
    </row>
    <row r="58" spans="1:15" x14ac:dyDescent="0.25">
      <c r="A58" s="37"/>
      <c r="B58" s="33"/>
      <c r="C58" s="33"/>
      <c r="D58" s="33"/>
      <c r="E58" s="33"/>
      <c r="F58" s="33"/>
    </row>
    <row r="59" spans="1:15" x14ac:dyDescent="0.25">
      <c r="A59" s="37"/>
      <c r="B59" s="33"/>
      <c r="C59" s="33"/>
      <c r="D59" s="33"/>
      <c r="E59" s="33"/>
      <c r="F59" s="33"/>
    </row>
    <row r="60" spans="1:15" x14ac:dyDescent="0.25">
      <c r="A60" s="37"/>
      <c r="B60" s="33"/>
      <c r="C60" s="33"/>
      <c r="D60" s="33"/>
      <c r="E60" s="33"/>
      <c r="F60" s="33"/>
    </row>
    <row r="61" spans="1:15" x14ac:dyDescent="0.25">
      <c r="A61" s="37"/>
      <c r="B61" s="33"/>
      <c r="C61" s="33"/>
      <c r="D61" s="33"/>
      <c r="E61" s="33"/>
      <c r="F61" s="33"/>
    </row>
    <row r="62" spans="1:15" x14ac:dyDescent="0.25">
      <c r="A62" s="37"/>
      <c r="B62" s="33"/>
      <c r="C62" s="33"/>
      <c r="D62" s="33"/>
      <c r="E62" s="33"/>
      <c r="F62" s="33"/>
    </row>
    <row r="64" spans="1:15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2" sqref="G2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14.140625" bestFit="1" customWidth="1"/>
    <col min="5" max="5" width="18.85546875" bestFit="1" customWidth="1"/>
    <col min="6" max="6" width="11" style="12" bestFit="1" customWidth="1"/>
    <col min="7" max="7" width="13.7109375" style="12" bestFit="1" customWidth="1"/>
  </cols>
  <sheetData>
    <row r="1" spans="1:7" x14ac:dyDescent="0.25">
      <c r="A1" s="34" t="s">
        <v>48</v>
      </c>
      <c r="B1" s="34"/>
      <c r="C1" s="34"/>
      <c r="E1" s="34" t="s">
        <v>46</v>
      </c>
      <c r="F1" s="34"/>
      <c r="G1" s="34"/>
    </row>
    <row r="2" spans="1:7" x14ac:dyDescent="0.25">
      <c r="A2" t="s">
        <v>45</v>
      </c>
      <c r="B2" s="38"/>
      <c r="C2" s="42">
        <f>Analysis!J5</f>
        <v>0.2</v>
      </c>
      <c r="E2" t="s">
        <v>45</v>
      </c>
      <c r="F2" s="38"/>
      <c r="G2" s="42">
        <f>Analysis!J5</f>
        <v>0.2</v>
      </c>
    </row>
    <row r="3" spans="1:7" x14ac:dyDescent="0.25">
      <c r="A3" t="s">
        <v>47</v>
      </c>
      <c r="B3" s="38"/>
      <c r="C3" s="43">
        <f>Analysis!F6</f>
        <v>10</v>
      </c>
      <c r="E3" t="s">
        <v>47</v>
      </c>
      <c r="F3" s="38"/>
      <c r="G3" s="43">
        <f>HoldingPeriod</f>
        <v>10</v>
      </c>
    </row>
    <row r="4" spans="1:7" x14ac:dyDescent="0.25">
      <c r="A4" t="s">
        <v>46</v>
      </c>
      <c r="B4" s="39"/>
      <c r="C4" s="44">
        <f>Analysis!J2</f>
        <v>9288683.333333334</v>
      </c>
      <c r="E4" t="s">
        <v>48</v>
      </c>
      <c r="F4" s="40"/>
      <c r="G4" s="46">
        <f>Analysis!J3</f>
        <v>79660390.810465187</v>
      </c>
    </row>
    <row r="5" spans="1:7" x14ac:dyDescent="0.25">
      <c r="A5" t="s">
        <v>48</v>
      </c>
      <c r="B5" s="40"/>
      <c r="C5" s="16">
        <f>FV(C2,C3,,-C4)</f>
        <v>57513078.911139838</v>
      </c>
      <c r="E5" t="s">
        <v>46</v>
      </c>
      <c r="F5" s="39"/>
      <c r="G5" s="16">
        <f>-PV(G2,G3,,G4)</f>
        <v>12865597.851077091</v>
      </c>
    </row>
    <row r="6" spans="1:7" x14ac:dyDescent="0.25">
      <c r="B6" s="12"/>
      <c r="C6" s="12"/>
    </row>
    <row r="7" spans="1:7" x14ac:dyDescent="0.25">
      <c r="B7" s="12"/>
      <c r="C7" s="12"/>
    </row>
    <row r="8" spans="1:7" x14ac:dyDescent="0.25">
      <c r="B8" s="12"/>
      <c r="C8" s="12"/>
    </row>
    <row r="9" spans="1:7" x14ac:dyDescent="0.25">
      <c r="B9" s="12"/>
      <c r="C9" s="12"/>
    </row>
    <row r="10" spans="1:7" x14ac:dyDescent="0.25">
      <c r="B10" s="12"/>
      <c r="C10" s="12"/>
    </row>
    <row r="11" spans="1:7" x14ac:dyDescent="0.25">
      <c r="B11" s="12"/>
      <c r="C11" s="12"/>
    </row>
    <row r="12" spans="1:7" x14ac:dyDescent="0.25">
      <c r="B12" s="12"/>
      <c r="C12" s="12"/>
    </row>
    <row r="13" spans="1:7" x14ac:dyDescent="0.25">
      <c r="B13" s="12"/>
      <c r="C13" s="12"/>
    </row>
    <row r="14" spans="1:7" x14ac:dyDescent="0.25">
      <c r="B14" s="12"/>
      <c r="C14" s="12"/>
    </row>
    <row r="15" spans="1:7" x14ac:dyDescent="0.25">
      <c r="B15" s="12"/>
      <c r="C15" s="12"/>
    </row>
    <row r="16" spans="1:7" x14ac:dyDescent="0.25">
      <c r="B16" s="12"/>
      <c r="C16" s="12"/>
    </row>
    <row r="17" spans="2:3" x14ac:dyDescent="0.25">
      <c r="B17" s="12"/>
      <c r="C17" s="12"/>
    </row>
    <row r="18" spans="2:3" x14ac:dyDescent="0.25">
      <c r="B18" s="12"/>
      <c r="C18" s="12"/>
    </row>
    <row r="19" spans="2:3" x14ac:dyDescent="0.25">
      <c r="B19" s="12"/>
      <c r="C19" s="12"/>
    </row>
    <row r="20" spans="2:3" x14ac:dyDescent="0.25">
      <c r="B20" s="12"/>
      <c r="C20" s="12"/>
    </row>
    <row r="21" spans="2:3" x14ac:dyDescent="0.25">
      <c r="B21" s="12"/>
      <c r="C21" s="12"/>
    </row>
    <row r="22" spans="2:3" x14ac:dyDescent="0.25">
      <c r="B22" s="12"/>
      <c r="C22" s="12"/>
    </row>
    <row r="23" spans="2:3" x14ac:dyDescent="0.25">
      <c r="B23" s="12"/>
      <c r="C23" s="12"/>
    </row>
    <row r="24" spans="2:3" x14ac:dyDescent="0.25">
      <c r="B24" s="12"/>
      <c r="C24" s="12"/>
    </row>
    <row r="25" spans="2:3" x14ac:dyDescent="0.25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Academic Tutor</cp:lastModifiedBy>
  <dcterms:created xsi:type="dcterms:W3CDTF">2023-09-18T02:06:14Z</dcterms:created>
  <dcterms:modified xsi:type="dcterms:W3CDTF">2025-11-11T08:41:34Z</dcterms:modified>
</cp:coreProperties>
</file>